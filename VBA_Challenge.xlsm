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szymkowiak/Desktop/boot_camp/stock-analysis/"/>
    </mc:Choice>
  </mc:AlternateContent>
  <xr:revisionPtr revIDLastSave="0" documentId="13_ncr:1_{3E8DE4BA-B224-1749-8B53-40BA6F18B30C}" xr6:coauthVersionLast="47" xr6:coauthVersionMax="47" xr10:uidLastSave="{00000000-0000-0000-0000-000000000000}"/>
  <bookViews>
    <workbookView xWindow="240" yWindow="500" windowWidth="23840" windowHeight="15980" activeTab="4" xr2:uid="{00000000-000D-0000-FFFF-FFFF00000000}"/>
  </bookViews>
  <sheets>
    <sheet name="2017" sheetId="1" r:id="rId1"/>
    <sheet name="2018" sheetId="2" r:id="rId2"/>
    <sheet name="Challenge" sheetId="5" r:id="rId3"/>
    <sheet name="All_Stock_Analysis" sheetId="4" r:id="rId4"/>
    <sheet name="Performance" sheetId="6" r:id="rId5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6" l="1"/>
  <c r="M6" i="6"/>
  <c r="M7" i="6"/>
  <c r="M8" i="6"/>
  <c r="M9" i="6"/>
  <c r="M10" i="6"/>
  <c r="M11" i="6"/>
  <c r="M12" i="6"/>
  <c r="M13" i="6"/>
  <c r="M14" i="6"/>
  <c r="M15" i="6"/>
  <c r="M4" i="6"/>
  <c r="J5" i="6"/>
  <c r="J6" i="6"/>
  <c r="J7" i="6"/>
  <c r="J8" i="6"/>
  <c r="J9" i="6"/>
  <c r="J10" i="6"/>
  <c r="J11" i="6"/>
  <c r="J12" i="6"/>
  <c r="J13" i="6"/>
  <c r="J14" i="6"/>
  <c r="J15" i="6"/>
  <c r="J4" i="6"/>
  <c r="J504" i="2"/>
</calcChain>
</file>

<file path=xl/sharedStrings.xml><?xml version="1.0" encoding="utf-8"?>
<sst xmlns="http://schemas.openxmlformats.org/spreadsheetml/2006/main" count="12146" uniqueCount="530">
  <si>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</si>
  <si>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</si>
  <si>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</si>
  <si>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</si>
  <si>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</si>
  <si>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</si>
  <si>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</si>
  <si>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</si>
  <si>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</si>
  <si>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</si>
  <si>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</si>
  <si>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</si>
  <si>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</si>
  <si>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</si>
  <si>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</si>
  <si>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</si>
  <si>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</si>
  <si>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</si>
  <si>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</si>
  <si>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</si>
  <si>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</si>
  <si>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</si>
  <si>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</si>
  <si>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</si>
  <si>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</si>
  <si>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</si>
  <si>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</si>
  <si>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</si>
  <si>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</si>
  <si>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</si>
  <si>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</si>
  <si>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</si>
  <si>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</si>
  <si>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</si>
  <si>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</si>
  <si>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</si>
  <si>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</si>
  <si>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</si>
  <si>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</si>
  <si>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</si>
  <si>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</si>
  <si>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</si>
  <si>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</si>
  <si>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</si>
  <si>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</si>
  <si>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</si>
  <si>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</si>
  <si>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</si>
  <si>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</si>
  <si>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</si>
  <si>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</si>
  <si>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</si>
  <si>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</si>
  <si>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</si>
  <si>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</si>
  <si>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</si>
  <si>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</si>
  <si>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</si>
  <si>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</si>
  <si>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</si>
  <si>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</si>
  <si>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</si>
  <si>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</si>
  <si>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</si>
  <si>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</si>
  <si>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</si>
  <si>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</si>
  <si>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</si>
  <si>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</si>
  <si>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</si>
  <si>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</si>
  <si>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</si>
  <si>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</si>
  <si>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</si>
  <si>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</si>
  <si>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</si>
  <si>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</si>
  <si>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</si>
  <si>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</si>
  <si>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</si>
  <si>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</si>
  <si>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</si>
  <si>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</si>
  <si>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</si>
  <si>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</si>
  <si>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</si>
  <si>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</si>
  <si>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</si>
  <si>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</si>
  <si>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</si>
  <si>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</si>
  <si>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</si>
  <si>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</si>
  <si>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</si>
  <si>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</si>
  <si>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</si>
  <si>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</si>
  <si>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</si>
  <si>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</si>
  <si>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</si>
  <si>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</si>
  <si>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</si>
  <si>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</si>
  <si>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</si>
  <si>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</si>
  <si>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</si>
  <si>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</si>
  <si>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</si>
  <si>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</si>
  <si>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</si>
  <si>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</si>
  <si>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</si>
  <si>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</si>
  <si>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</si>
  <si>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</si>
  <si>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</si>
  <si>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</si>
  <si>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</si>
  <si>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</si>
  <si>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</si>
  <si>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</si>
  <si>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</si>
  <si>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</si>
  <si>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</si>
  <si>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</si>
  <si>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</si>
  <si>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</si>
  <si>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</si>
  <si>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</si>
  <si>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</si>
  <si>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</si>
  <si>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</si>
  <si>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</si>
  <si>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</si>
  <si>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</si>
  <si>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</si>
  <si>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</si>
  <si>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</si>
  <si>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</si>
  <si>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</si>
  <si>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</si>
  <si>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</si>
  <si>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</si>
  <si>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</si>
  <si>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</si>
  <si>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</si>
  <si>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</si>
  <si>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</si>
  <si>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</si>
  <si>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</si>
  <si>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</si>
  <si>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</si>
  <si>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</si>
  <si>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</si>
  <si>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</si>
  <si>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</si>
  <si>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</si>
  <si>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</si>
  <si>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</si>
  <si>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</si>
  <si>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</si>
  <si>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</si>
  <si>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</si>
  <si>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</si>
  <si>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</si>
  <si>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</si>
  <si>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</si>
  <si>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</si>
  <si>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</si>
  <si>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</si>
  <si>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</si>
  <si>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</si>
  <si>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</si>
  <si>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</si>
  <si>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</si>
  <si>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</si>
  <si>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</si>
  <si>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</si>
  <si>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</si>
  <si>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</si>
  <si>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</si>
  <si>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</si>
  <si>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</si>
  <si>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</si>
  <si>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</si>
  <si>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</si>
  <si>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</si>
  <si>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</si>
  <si>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</si>
  <si>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</si>
  <si>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</si>
  <si>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</si>
  <si>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</si>
  <si>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</si>
  <si>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</si>
  <si>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</si>
  <si>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</si>
  <si>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</si>
  <si>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</si>
  <si>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</si>
  <si>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</si>
  <si>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</si>
  <si>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</si>
  <si>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</si>
  <si>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</si>
  <si>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</si>
  <si>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</si>
  <si>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</si>
  <si>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</si>
  <si>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</si>
  <si>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</si>
  <si>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</si>
  <si>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</si>
  <si>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</si>
  <si>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</si>
  <si>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</si>
  <si>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</si>
  <si>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</si>
  <si>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</si>
  <si>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</si>
  <si>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</si>
  <si>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</si>
  <si>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</si>
  <si>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</si>
  <si>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</si>
  <si>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</si>
  <si>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</si>
  <si>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</si>
  <si>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</si>
  <si>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</si>
  <si>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</si>
  <si>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</si>
  <si>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</si>
  <si>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</si>
  <si>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</si>
  <si>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</si>
  <si>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</si>
  <si>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</si>
  <si>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</si>
  <si>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</si>
  <si>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</si>
  <si>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</si>
  <si>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</si>
  <si>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</si>
  <si>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</si>
  <si>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</si>
  <si>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</si>
  <si>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</si>
  <si>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</si>
  <si>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</si>
  <si>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</si>
  <si>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</si>
  <si>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</si>
  <si>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</si>
  <si>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</si>
  <si>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</si>
  <si>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</si>
  <si>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</si>
  <si>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</si>
  <si>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</si>
  <si>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</si>
  <si>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</si>
  <si>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</si>
  <si>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</si>
  <si>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</si>
  <si>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</si>
  <si>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</si>
  <si>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</si>
  <si>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</si>
  <si>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</si>
  <si>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</si>
  <si>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</si>
  <si>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</si>
  <si>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</si>
  <si>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</si>
  <si>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</si>
  <si>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</si>
  <si>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</si>
  <si>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</si>
  <si>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</si>
  <si>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</si>
  <si>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</si>
  <si>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</si>
  <si>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</si>
  <si>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</si>
  <si>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</si>
  <si>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</si>
  <si>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</si>
  <si>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</si>
  <si>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</si>
  <si>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</si>
  <si>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</si>
  <si>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</si>
  <si>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</si>
  <si>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</si>
  <si>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</si>
  <si>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</si>
  <si>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</si>
  <si>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</si>
  <si>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</si>
  <si>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</si>
  <si>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</si>
  <si>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</si>
  <si>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</si>
  <si>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</si>
  <si>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</si>
  <si>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</si>
  <si>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</si>
  <si>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</si>
  <si>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</si>
  <si>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</si>
  <si>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</si>
  <si>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</si>
  <si>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</si>
  <si>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</si>
  <si>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</si>
  <si>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</si>
  <si>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</si>
  <si>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</si>
  <si>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</si>
  <si>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</si>
  <si>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</si>
  <si>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</si>
  <si>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</si>
  <si>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</si>
  <si>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</si>
  <si>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</si>
  <si>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</si>
  <si>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</si>
  <si>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</si>
  <si>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</si>
  <si>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</si>
  <si>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</si>
  <si>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</si>
  <si>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</si>
  <si>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</si>
  <si>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</si>
  <si>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</si>
  <si>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</si>
  <si>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</si>
  <si>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</si>
  <si>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</si>
  <si>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</si>
  <si>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</si>
  <si>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</si>
  <si>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</si>
  <si>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</si>
  <si>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</si>
  <si>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</si>
  <si>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</si>
  <si>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</si>
  <si>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</si>
  <si>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</si>
  <si>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</si>
  <si>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</si>
  <si>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</si>
  <si>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</si>
  <si>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</si>
  <si>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</si>
  <si>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</si>
  <si>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</si>
  <si>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</si>
  <si>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</si>
  <si>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</si>
  <si>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</si>
  <si>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</si>
  <si>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</si>
  <si>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</si>
  <si>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</si>
  <si>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</si>
  <si>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</si>
  <si>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</si>
  <si>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</si>
  <si>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</si>
  <si>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</si>
  <si>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</si>
  <si>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</si>
  <si>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</si>
  <si>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</si>
  <si>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</si>
  <si>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</si>
  <si>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</si>
  <si>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</si>
  <si>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</si>
  <si>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</si>
  <si>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</si>
  <si>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</si>
  <si>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</si>
  <si>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</si>
  <si>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</si>
  <si>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</si>
  <si>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</si>
  <si>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</si>
  <si>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</si>
  <si>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</si>
  <si>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</si>
  <si>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</si>
  <si>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</si>
  <si>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</si>
  <si>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</si>
  <si>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</si>
  <si>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</si>
  <si>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</si>
  <si>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</si>
  <si>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</si>
  <si>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</si>
  <si>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</si>
  <si>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</si>
  <si>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</si>
  <si>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</si>
  <si>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</si>
  <si>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</si>
  <si>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</si>
  <si>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</si>
  <si>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</si>
  <si>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</si>
  <si>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</si>
  <si>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</si>
  <si>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</si>
  <si>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</si>
  <si>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</si>
  <si>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</si>
  <si>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</si>
  <si>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</si>
  <si>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</si>
  <si>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</si>
  <si>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</si>
  <si>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</si>
  <si>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</si>
  <si>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</si>
  <si>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</si>
  <si>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</si>
  <si>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</si>
  <si>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</si>
  <si>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</si>
  <si>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</si>
  <si>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</si>
  <si>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</si>
  <si>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</si>
  <si>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</si>
  <si>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</si>
  <si>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</si>
  <si>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</si>
  <si>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</si>
  <si>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</si>
  <si>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</si>
  <si>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</si>
  <si>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</si>
  <si>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</si>
  <si>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</si>
  <si>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</si>
  <si>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</si>
  <si>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</si>
  <si>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</si>
  <si>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</si>
  <si>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</si>
  <si>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</si>
  <si>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</si>
  <si>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</si>
  <si>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</si>
  <si>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</si>
  <si>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</si>
  <si>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</si>
  <si>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</si>
  <si>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</si>
  <si>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</si>
  <si>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</si>
  <si>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</si>
  <si>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</si>
  <si>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</si>
  <si>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</si>
  <si>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</si>
  <si>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</si>
  <si>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</si>
  <si>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</si>
  <si>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</si>
  <si>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</si>
  <si>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</si>
  <si>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</si>
  <si>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</si>
  <si>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</si>
  <si>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</si>
  <si>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</si>
  <si>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</si>
  <si>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</si>
  <si>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</si>
  <si>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</si>
  <si>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</si>
  <si>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</si>
  <si>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</si>
  <si>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</si>
  <si>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</si>
  <si>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</si>
  <si>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</si>
  <si>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</si>
  <si>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</si>
  <si>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</si>
  <si>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</si>
  <si>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</si>
  <si>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</si>
  <si>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</si>
  <si>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</si>
  <si>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</si>
  <si>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</si>
  <si>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</si>
  <si>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</si>
  <si>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</si>
  <si>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</si>
  <si>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</si>
  <si>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</si>
  <si>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</si>
  <si>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</si>
  <si>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</si>
  <si>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</si>
  <si>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</si>
  <si>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</si>
  <si>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</si>
  <si>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</si>
  <si>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</si>
  <si>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</si>
  <si>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</si>
  <si>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</si>
  <si>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</si>
  <si>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</si>
  <si>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</si>
  <si>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All Stocks (2018)</t>
  </si>
  <si>
    <t>2017-2018</t>
  </si>
  <si>
    <t>Change  in total volume</t>
  </si>
  <si>
    <t>Starting Price 2017</t>
  </si>
  <si>
    <t>Ending Price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</si>
</sst>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44" fontId="0" fillId="0" borderId="0" xfId="1" applyFont="1"/>
    <xf numFmtId="164" fontId="0" fillId="0" borderId="0" xfId="2" applyNumberFormat="1" applyFont="1"/>
    <xf numFmtId="0" fontId="1" fillId="0" borderId="2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5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3E123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73E1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698500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6</xdr:row>
          <xdr:rowOff>177800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10</xdr:row>
          <xdr:rowOff>0</xdr:rowOff>
        </xdr:from>
        <xdr:to>
          <xdr:col>6</xdr:col>
          <xdr:colOff>711200</xdr:colOff>
          <xdr:row>12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301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9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10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11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12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13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14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15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16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17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18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19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M21" sqref="M21"/>
    </sheetView>
  </sheetViews>
  <sheetFormatPr baseColWidth="10" defaultColWidth="8.83203125" defaultRowHeight="15" x14ac:dyDescent="0.2"/>
  <cols>
    <col min="10" max="10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9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10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11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12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13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14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15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16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17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18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19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0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0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0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0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0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0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0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0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J504">
        <f>SUM(H504:H754)</f>
        <v>107873900</v>
      </c>
    </row>
    <row r="505" spans="1:10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10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0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0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0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0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10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10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83621-E33D-8F4E-BA77-2E3ED003B0DC}">
  <sheetPr codeName="Sheet5"/>
  <dimension ref="A1:C15"/>
  <sheetViews>
    <sheetView workbookViewId="0">
      <selection activeCell="J31" sqref="J31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524</v>
      </c>
    </row>
    <row r="3" spans="1:3" x14ac:dyDescent="0.2">
      <c r="A3" s="2" t="s">
        <v>0</v>
      </c>
      <c r="B3" s="2" t="s">
        <v>522</v>
      </c>
      <c r="C3" s="2" t="s">
        <v>523</v>
      </c>
    </row>
    <row r="4" spans="1:3" x14ac:dyDescent="0.2">
      <c r="A4" t="s">
        <v>8</v>
      </c>
      <c r="B4" s="3">
        <v>834800</v>
      </c>
      <c r="C4" s="5">
        <v>1.0272253304719925E-2</v>
      </c>
    </row>
    <row r="5" spans="1:3" x14ac:dyDescent="0.2">
      <c r="A5" t="s">
        <v>9</v>
      </c>
      <c r="B5" s="3">
        <v>403300</v>
      </c>
      <c r="C5" s="4">
        <v>0</v>
      </c>
    </row>
    <row r="6" spans="1:3" x14ac:dyDescent="0.2">
      <c r="A6" t="s">
        <v>10</v>
      </c>
      <c r="B6" s="3">
        <v>457600</v>
      </c>
      <c r="C6" s="4">
        <v>0</v>
      </c>
    </row>
    <row r="7" spans="1:3" x14ac:dyDescent="0.2">
      <c r="A7" t="s">
        <v>11</v>
      </c>
      <c r="B7" s="3">
        <v>437600</v>
      </c>
      <c r="C7" s="4">
        <v>0</v>
      </c>
    </row>
    <row r="8" spans="1:3" x14ac:dyDescent="0.2">
      <c r="A8" t="s">
        <v>12</v>
      </c>
      <c r="B8" s="3">
        <v>776000</v>
      </c>
      <c r="C8" s="4">
        <v>0</v>
      </c>
    </row>
    <row r="9" spans="1:3" x14ac:dyDescent="0.2">
      <c r="A9" t="s">
        <v>13</v>
      </c>
      <c r="B9" s="3">
        <v>546900</v>
      </c>
      <c r="C9" s="4">
        <v>0</v>
      </c>
    </row>
    <row r="10" spans="1:3" x14ac:dyDescent="0.2">
      <c r="A10" t="s">
        <v>14</v>
      </c>
      <c r="B10" s="3">
        <v>351200</v>
      </c>
      <c r="C10" s="4">
        <v>0</v>
      </c>
    </row>
    <row r="11" spans="1:3" x14ac:dyDescent="0.2">
      <c r="A11" t="s">
        <v>15</v>
      </c>
      <c r="B11" s="3">
        <v>993600</v>
      </c>
      <c r="C11" s="4">
        <v>0</v>
      </c>
    </row>
    <row r="12" spans="1:3" x14ac:dyDescent="0.2">
      <c r="A12" t="s">
        <v>16</v>
      </c>
      <c r="B12" s="3">
        <v>854500</v>
      </c>
      <c r="C12" s="4">
        <v>0</v>
      </c>
    </row>
    <row r="13" spans="1:3" x14ac:dyDescent="0.2">
      <c r="A13" t="s">
        <v>17</v>
      </c>
      <c r="B13" s="3">
        <v>446000</v>
      </c>
      <c r="C13" s="4">
        <v>0</v>
      </c>
    </row>
    <row r="14" spans="1:3" x14ac:dyDescent="0.2">
      <c r="A14" t="s">
        <v>18</v>
      </c>
      <c r="B14" s="3">
        <v>587500</v>
      </c>
      <c r="C14" s="4">
        <v>0</v>
      </c>
    </row>
    <row r="15" spans="1:3" x14ac:dyDescent="0.2">
      <c r="A15" t="s">
        <v>19</v>
      </c>
      <c r="B15" s="3">
        <v>586800</v>
      </c>
      <c r="C15" s="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048A4-3D01-3547-B2F5-083FE6B749FA}">
  <sheetPr codeName="Sheet4"/>
  <dimension ref="A1:E15"/>
  <sheetViews>
    <sheetView workbookViewId="0">
      <selection activeCell="E4" sqref="E4:E15"/>
    </sheetView>
  </sheetViews>
  <sheetFormatPr baseColWidth="10" defaultRowHeight="15" x14ac:dyDescent="0.2"/>
  <cols>
    <col min="1" max="1" width="13.6640625" bestFit="1" customWidth="1"/>
    <col min="2" max="2" width="15.6640625" bestFit="1" customWidth="1"/>
    <col min="4" max="5" width="11.6640625" bestFit="1" customWidth="1"/>
  </cols>
  <sheetData>
    <row r="1" spans="1:5" x14ac:dyDescent="0.2">
      <c r="A1" t="s">
        <v>525</v>
      </c>
    </row>
    <row r="3" spans="1:5" x14ac:dyDescent="0.2">
      <c r="A3" t="s">
        <v>0</v>
      </c>
      <c r="B3" t="s">
        <v>522</v>
      </c>
      <c r="C3" t="s">
        <v>523</v>
      </c>
    </row>
    <row r="4" spans="1:5" x14ac:dyDescent="0.2">
      <c r="A4" t="s">
        <v>8</v>
      </c>
      <c r="B4">
        <v>77639000</v>
      </c>
      <c r="C4">
        <v>-8.0243974924087524E-2</v>
      </c>
      <c r="D4">
        <v>21.309999465942383</v>
      </c>
      <c r="E4">
        <v>19.600000381469727</v>
      </c>
    </row>
    <row r="5" spans="1:5" x14ac:dyDescent="0.2">
      <c r="A5" t="s">
        <v>9</v>
      </c>
      <c r="B5">
        <v>202321000</v>
      </c>
      <c r="C5">
        <v>-0.16336052119731903</v>
      </c>
      <c r="D5">
        <v>17.139999389648438</v>
      </c>
      <c r="E5">
        <v>14.340000152587891</v>
      </c>
    </row>
    <row r="6" spans="1:5" x14ac:dyDescent="0.2">
      <c r="A6" t="s">
        <v>10</v>
      </c>
      <c r="B6">
        <v>108544100</v>
      </c>
      <c r="C6">
        <v>-0.62601888179779053</v>
      </c>
      <c r="D6">
        <v>62.569999694824219</v>
      </c>
      <c r="E6">
        <v>23.399999618530273</v>
      </c>
    </row>
    <row r="7" spans="1:5" x14ac:dyDescent="0.2">
      <c r="A7" t="s">
        <v>11</v>
      </c>
      <c r="B7">
        <v>608056200</v>
      </c>
      <c r="C7">
        <v>0.81923085451126099</v>
      </c>
      <c r="D7">
        <v>2.5999999046325684</v>
      </c>
      <c r="E7">
        <v>4.7300000190734863</v>
      </c>
    </row>
    <row r="8" spans="1:5" x14ac:dyDescent="0.2">
      <c r="A8" t="s">
        <v>12</v>
      </c>
      <c r="B8">
        <v>478399800</v>
      </c>
      <c r="C8">
        <v>-0.39713191986083984</v>
      </c>
      <c r="D8">
        <v>70.430000305175781</v>
      </c>
      <c r="E8">
        <v>42.459999084472656</v>
      </c>
    </row>
    <row r="9" spans="1:5" x14ac:dyDescent="0.2">
      <c r="A9" t="s">
        <v>13</v>
      </c>
      <c r="B9">
        <v>104914500</v>
      </c>
      <c r="C9">
        <v>-0.20658062398433685</v>
      </c>
      <c r="D9">
        <v>24.010000228881836</v>
      </c>
      <c r="E9">
        <v>19.049999237060547</v>
      </c>
    </row>
    <row r="10" spans="1:5" x14ac:dyDescent="0.2">
      <c r="A10" t="s">
        <v>14</v>
      </c>
      <c r="B10">
        <v>158676800</v>
      </c>
      <c r="C10">
        <v>-0.6053471565246582</v>
      </c>
      <c r="D10">
        <v>25.059999465942383</v>
      </c>
      <c r="E10">
        <v>9.8900003433227539</v>
      </c>
    </row>
    <row r="11" spans="1:5" x14ac:dyDescent="0.2">
      <c r="A11" t="s">
        <v>15</v>
      </c>
      <c r="B11">
        <v>503169900</v>
      </c>
      <c r="C11">
        <v>0.83952707052230835</v>
      </c>
      <c r="D11">
        <v>5.9200000762939453</v>
      </c>
      <c r="E11">
        <v>10.890000343322754</v>
      </c>
    </row>
    <row r="12" spans="1:5" x14ac:dyDescent="0.2">
      <c r="A12" t="s">
        <v>16</v>
      </c>
      <c r="B12">
        <v>237569300</v>
      </c>
      <c r="C12">
        <v>-7.7529586851596832E-2</v>
      </c>
      <c r="D12">
        <v>38.049999237060547</v>
      </c>
      <c r="E12">
        <v>35.099998474121094</v>
      </c>
    </row>
    <row r="13" spans="1:5" x14ac:dyDescent="0.2">
      <c r="A13" t="s">
        <v>17</v>
      </c>
      <c r="B13">
        <v>538280800</v>
      </c>
      <c r="C13">
        <v>-0.44593092799186707</v>
      </c>
      <c r="D13">
        <v>8.9700002670288086</v>
      </c>
      <c r="E13">
        <v>4.9699997901916504</v>
      </c>
    </row>
    <row r="14" spans="1:5" x14ac:dyDescent="0.2">
      <c r="A14" t="s">
        <v>18</v>
      </c>
      <c r="B14">
        <v>151699000</v>
      </c>
      <c r="C14">
        <v>-4.9957673996686935E-2</v>
      </c>
      <c r="D14">
        <v>11.810000419616699</v>
      </c>
      <c r="E14">
        <v>11.220000267028809</v>
      </c>
    </row>
    <row r="15" spans="1:5" x14ac:dyDescent="0.2">
      <c r="A15" t="s">
        <v>19</v>
      </c>
      <c r="B15">
        <v>136767800</v>
      </c>
      <c r="C15">
        <v>-3.5443063825368881E-2</v>
      </c>
      <c r="D15">
        <v>3.9500000476837158</v>
      </c>
      <c r="E15">
        <v>3.809999942779541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698500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_stock_analysis">
                <anchor moveWithCells="1" sizeWithCells="1">
                  <from>
                    <xdr:col>5</xdr:col>
                    <xdr:colOff>12700</xdr:colOff>
                    <xdr:row>6</xdr:row>
                    <xdr:rowOff>177800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format_all_stocks_analysis_table">
                <anchor moveWithCells="1" sizeWithCells="1">
                  <from>
                    <xdr:col>5</xdr:col>
                    <xdr:colOff>12700</xdr:colOff>
                    <xdr:row>10</xdr:row>
                    <xdr:rowOff>0</xdr:rowOff>
                  </from>
                  <to>
                    <xdr:col>6</xdr:col>
                    <xdr:colOff>711200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AEFBB-DCD1-1F43-8BC7-5A60E90F3021}">
  <sheetPr codeName="Sheet3"/>
  <dimension ref="A1:M15"/>
  <sheetViews>
    <sheetView tabSelected="1" workbookViewId="0">
      <selection activeCell="J22" sqref="J22"/>
    </sheetView>
  </sheetViews>
  <sheetFormatPr baseColWidth="10" defaultRowHeight="15" x14ac:dyDescent="0.2"/>
  <cols>
    <col min="10" max="10" width="19.33203125" bestFit="1" customWidth="1"/>
    <col min="11" max="11" width="15.83203125" bestFit="1" customWidth="1"/>
    <col min="12" max="12" width="15" bestFit="1" customWidth="1"/>
  </cols>
  <sheetData>
    <row r="1" spans="1:13" x14ac:dyDescent="0.2">
      <c r="A1" t="s">
        <v>524</v>
      </c>
      <c r="E1" t="s">
        <v>525</v>
      </c>
      <c r="I1" t="s">
        <v>526</v>
      </c>
    </row>
    <row r="3" spans="1:13" x14ac:dyDescent="0.2">
      <c r="A3" s="2" t="s">
        <v>0</v>
      </c>
      <c r="B3" s="2" t="s">
        <v>522</v>
      </c>
      <c r="C3" s="2" t="s">
        <v>523</v>
      </c>
      <c r="E3" s="2" t="s">
        <v>0</v>
      </c>
      <c r="F3" s="2" t="s">
        <v>522</v>
      </c>
      <c r="G3" s="2" t="s">
        <v>523</v>
      </c>
      <c r="I3" s="8" t="s">
        <v>0</v>
      </c>
      <c r="J3" s="8" t="s">
        <v>527</v>
      </c>
      <c r="K3" s="8" t="s">
        <v>528</v>
      </c>
      <c r="L3" s="8" t="s">
        <v>529</v>
      </c>
      <c r="M3" s="8" t="s">
        <v>523</v>
      </c>
    </row>
    <row r="4" spans="1:13" x14ac:dyDescent="0.2">
      <c r="A4" t="s">
        <v>8</v>
      </c>
      <c r="B4" s="3">
        <v>136070900</v>
      </c>
      <c r="C4" s="5">
        <v>8.9368253946304321E-2</v>
      </c>
      <c r="E4" t="s">
        <v>8</v>
      </c>
      <c r="F4" s="3">
        <v>77639000</v>
      </c>
      <c r="G4" s="4">
        <v>-8.0243974924087524E-2</v>
      </c>
      <c r="I4" t="s">
        <v>8</v>
      </c>
      <c r="J4" s="3">
        <f>F4-B4</f>
        <v>-58431900</v>
      </c>
      <c r="K4" s="6">
        <v>21.590000152587891</v>
      </c>
      <c r="L4" s="6">
        <v>19.600000381469727</v>
      </c>
      <c r="M4" s="7">
        <f>L4/K4-1</f>
        <v>-9.2172290738943397E-2</v>
      </c>
    </row>
    <row r="5" spans="1:13" x14ac:dyDescent="0.2">
      <c r="A5" t="s">
        <v>9</v>
      </c>
      <c r="B5" s="3">
        <v>310996100</v>
      </c>
      <c r="C5" s="5">
        <v>0.33070248365402222</v>
      </c>
      <c r="E5" t="s">
        <v>9</v>
      </c>
      <c r="F5" s="3">
        <v>202321000</v>
      </c>
      <c r="G5" s="4">
        <v>-0.16336052119731903</v>
      </c>
      <c r="I5" t="s">
        <v>9</v>
      </c>
      <c r="J5" s="3">
        <f>F5-B5</f>
        <v>-108675100</v>
      </c>
      <c r="K5" s="6">
        <v>12.670000076293945</v>
      </c>
      <c r="L5" s="6">
        <v>14.340000152587891</v>
      </c>
      <c r="M5" s="7">
        <f t="shared" ref="M5:M15" si="0">L5/K5-1</f>
        <v>0.13180742432816395</v>
      </c>
    </row>
    <row r="6" spans="1:13" x14ac:dyDescent="0.2">
      <c r="A6" t="s">
        <v>10</v>
      </c>
      <c r="B6" s="3">
        <v>36253800</v>
      </c>
      <c r="C6" s="5">
        <v>1.9944583177566528</v>
      </c>
      <c r="E6" t="s">
        <v>10</v>
      </c>
      <c r="F6" s="3">
        <v>108544100</v>
      </c>
      <c r="G6" s="4">
        <v>-0.62601888179779053</v>
      </c>
      <c r="I6" t="s">
        <v>10</v>
      </c>
      <c r="J6" s="3">
        <f t="shared" ref="J5:J15" si="1">F6-B6</f>
        <v>72290300</v>
      </c>
      <c r="K6" s="6">
        <v>19.850000381469727</v>
      </c>
      <c r="L6" s="6">
        <v>23.399999618530273</v>
      </c>
      <c r="M6" s="7">
        <f t="shared" si="0"/>
        <v>0.17884126795153743</v>
      </c>
    </row>
    <row r="7" spans="1:13" x14ac:dyDescent="0.2">
      <c r="A7" t="s">
        <v>11</v>
      </c>
      <c r="B7" s="3">
        <v>222209700</v>
      </c>
      <c r="C7" s="5">
        <v>1.2952382564544678</v>
      </c>
      <c r="E7" t="s">
        <v>11</v>
      </c>
      <c r="F7" s="3">
        <v>608056200</v>
      </c>
      <c r="G7" s="5">
        <v>0.81923085451126099</v>
      </c>
      <c r="I7" t="s">
        <v>11</v>
      </c>
      <c r="J7" s="3">
        <f t="shared" si="1"/>
        <v>385846500</v>
      </c>
      <c r="K7" s="6">
        <v>1.0499999523162842</v>
      </c>
      <c r="L7" s="6">
        <v>4.7300000190734863</v>
      </c>
      <c r="M7" s="7">
        <f t="shared" si="0"/>
        <v>3.5047621275021745</v>
      </c>
    </row>
    <row r="8" spans="1:13" x14ac:dyDescent="0.2">
      <c r="A8" t="s">
        <v>12</v>
      </c>
      <c r="B8" s="3">
        <v>684957400</v>
      </c>
      <c r="C8" s="5">
        <v>1.0131185054779053</v>
      </c>
      <c r="E8" t="s">
        <v>12</v>
      </c>
      <c r="F8" s="3">
        <v>478399800</v>
      </c>
      <c r="G8" s="4">
        <v>-0.39713191986083984</v>
      </c>
      <c r="I8" t="s">
        <v>12</v>
      </c>
      <c r="J8" s="3">
        <f t="shared" si="1"/>
        <v>-206557600</v>
      </c>
      <c r="K8" s="6">
        <v>33.540000915527344</v>
      </c>
      <c r="L8" s="6">
        <v>42.459999084472656</v>
      </c>
      <c r="M8" s="7">
        <f t="shared" si="0"/>
        <v>0.26595104130768821</v>
      </c>
    </row>
    <row r="9" spans="1:13" x14ac:dyDescent="0.2">
      <c r="A9" t="s">
        <v>13</v>
      </c>
      <c r="B9" s="3">
        <v>81496200</v>
      </c>
      <c r="C9" s="5">
        <v>0.2583681046962738</v>
      </c>
      <c r="E9" t="s">
        <v>13</v>
      </c>
      <c r="F9" s="3">
        <v>104914500</v>
      </c>
      <c r="G9" s="4">
        <v>-0.20658062398433685</v>
      </c>
      <c r="I9" t="s">
        <v>13</v>
      </c>
      <c r="J9" s="3">
        <f t="shared" si="1"/>
        <v>23418300</v>
      </c>
      <c r="K9" s="6">
        <v>19.120000839233398</v>
      </c>
      <c r="L9" s="6">
        <v>19.049999237060547</v>
      </c>
      <c r="M9" s="7">
        <f t="shared" si="0"/>
        <v>-3.6611715010603785E-3</v>
      </c>
    </row>
    <row r="10" spans="1:13" x14ac:dyDescent="0.2">
      <c r="A10" t="s">
        <v>14</v>
      </c>
      <c r="B10" s="3">
        <v>191983400</v>
      </c>
      <c r="C10" s="5">
        <v>0.53870755434036255</v>
      </c>
      <c r="E10" t="s">
        <v>14</v>
      </c>
      <c r="F10" s="3">
        <v>158676800</v>
      </c>
      <c r="G10" s="4">
        <v>-0.6053471565246582</v>
      </c>
      <c r="I10" t="s">
        <v>14</v>
      </c>
      <c r="J10" s="3">
        <f t="shared" si="1"/>
        <v>-33306600</v>
      </c>
      <c r="K10" s="6">
        <v>15.630000114440918</v>
      </c>
      <c r="L10" s="6">
        <v>9.8900003433227539</v>
      </c>
      <c r="M10" s="7">
        <f t="shared" si="0"/>
        <v>-0.36724246507297498</v>
      </c>
    </row>
    <row r="11" spans="1:13" x14ac:dyDescent="0.2">
      <c r="A11" t="s">
        <v>15</v>
      </c>
      <c r="B11" s="3">
        <v>268674900</v>
      </c>
      <c r="C11" s="5">
        <v>5.5456161499023438E-2</v>
      </c>
      <c r="E11" t="s">
        <v>15</v>
      </c>
      <c r="F11" s="3">
        <v>503169900</v>
      </c>
      <c r="G11" s="5">
        <v>0.83952707052230835</v>
      </c>
      <c r="I11" t="s">
        <v>15</v>
      </c>
      <c r="J11" s="3">
        <f t="shared" si="1"/>
        <v>234495000</v>
      </c>
      <c r="K11" s="6">
        <v>5.5900001525878906</v>
      </c>
      <c r="L11" s="6">
        <v>10.890000343322754</v>
      </c>
      <c r="M11" s="7">
        <f t="shared" si="0"/>
        <v>0.94812165403631132</v>
      </c>
    </row>
    <row r="12" spans="1:13" x14ac:dyDescent="0.2">
      <c r="A12" t="s">
        <v>16</v>
      </c>
      <c r="B12" s="3">
        <v>207739700</v>
      </c>
      <c r="C12" s="5">
        <v>1.8446969985961914</v>
      </c>
      <c r="E12" t="s">
        <v>16</v>
      </c>
      <c r="F12" s="3">
        <v>237569300</v>
      </c>
      <c r="G12" s="4">
        <v>-7.7529586851596832E-2</v>
      </c>
      <c r="I12" t="s">
        <v>16</v>
      </c>
      <c r="J12" s="3">
        <f t="shared" si="1"/>
        <v>29829600</v>
      </c>
      <c r="K12" s="6">
        <v>13.199999809265137</v>
      </c>
      <c r="L12" s="6">
        <v>35.099998474121094</v>
      </c>
      <c r="M12" s="7">
        <f t="shared" si="0"/>
        <v>1.65909083191685</v>
      </c>
    </row>
    <row r="13" spans="1:13" x14ac:dyDescent="0.2">
      <c r="A13" t="s">
        <v>17</v>
      </c>
      <c r="B13" s="3">
        <v>782633000</v>
      </c>
      <c r="C13" s="5">
        <v>0.23065699636936188</v>
      </c>
      <c r="E13" t="s">
        <v>17</v>
      </c>
      <c r="F13" s="3">
        <v>538280800</v>
      </c>
      <c r="G13" s="4">
        <v>-0.44593092799186707</v>
      </c>
      <c r="I13" t="s">
        <v>17</v>
      </c>
      <c r="J13" s="3">
        <f t="shared" si="1"/>
        <v>-244352200</v>
      </c>
      <c r="K13" s="6">
        <v>6.8499999046325684</v>
      </c>
      <c r="L13" s="6">
        <v>4.9699997901916504</v>
      </c>
      <c r="M13" s="7">
        <f t="shared" si="0"/>
        <v>-0.274452575272227</v>
      </c>
    </row>
    <row r="14" spans="1:13" x14ac:dyDescent="0.2">
      <c r="A14" t="s">
        <v>18</v>
      </c>
      <c r="B14" s="3">
        <v>139990300</v>
      </c>
      <c r="C14" s="4">
        <v>-7.2148971259593964E-2</v>
      </c>
      <c r="E14" t="s">
        <v>18</v>
      </c>
      <c r="F14" s="3">
        <v>151699000</v>
      </c>
      <c r="G14" s="4">
        <v>-4.9957673996686935E-2</v>
      </c>
      <c r="I14" t="s">
        <v>18</v>
      </c>
      <c r="J14" s="3">
        <f t="shared" si="1"/>
        <v>11708700</v>
      </c>
      <c r="K14" s="6">
        <v>12.890000343322754</v>
      </c>
      <c r="L14" s="6">
        <v>11.220000267028809</v>
      </c>
      <c r="M14" s="7">
        <f t="shared" si="0"/>
        <v>-0.12955779920975985</v>
      </c>
    </row>
    <row r="15" spans="1:13" x14ac:dyDescent="0.2">
      <c r="A15" t="s">
        <v>19</v>
      </c>
      <c r="B15" s="3">
        <v>110074700</v>
      </c>
      <c r="C15" s="5">
        <v>0.50000005960464478</v>
      </c>
      <c r="E15" t="s">
        <v>19</v>
      </c>
      <c r="F15" s="3">
        <v>136767800</v>
      </c>
      <c r="G15" s="4">
        <v>-3.5443063825368881E-2</v>
      </c>
      <c r="I15" t="s">
        <v>19</v>
      </c>
      <c r="J15" s="3">
        <f t="shared" si="1"/>
        <v>26693100</v>
      </c>
      <c r="K15" s="6">
        <v>2.7000000476837158</v>
      </c>
      <c r="L15" s="6">
        <v>3.809999942779541</v>
      </c>
      <c r="M15" s="7">
        <f t="shared" si="0"/>
        <v>0.41111106499723027</v>
      </c>
    </row>
  </sheetData>
  <conditionalFormatting sqref="M4:M15">
    <cfRule type="cellIs" dxfId="2" priority="2" operator="greaterThan">
      <formula>0</formula>
    </cfRule>
    <cfRule type="cellIs" dxfId="3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Challenge</vt:lpstr>
      <vt:lpstr>All_Stock_Analysis</vt:lpstr>
      <vt:lpstr>Performance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Szymkowiak</cp:lastModifiedBy>
  <dcterms:created xsi:type="dcterms:W3CDTF">2019-05-02T20:23:55Z</dcterms:created>
  <dcterms:modified xsi:type="dcterms:W3CDTF">2021-07-05T21:52:03Z</dcterms:modified>
</cp:coreProperties>
</file>